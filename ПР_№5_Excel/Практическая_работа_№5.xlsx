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ематика" sheetId="1" state="visible" r:id="rId1"/>
    <sheet xmlns:r="http://schemas.openxmlformats.org/officeDocument/2006/relationships" name="Расчет кредит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 &quot;₽&quot;"/>
    <numFmt numFmtId="165" formatCode="0.0"/>
    <numFmt numFmtId="166" formatCode="0&quot; лет&quot;"/>
    <numFmt numFmtId="167" formatCode="0.000&quot; лет&quot;"/>
    <numFmt numFmtId="168" formatCode="0&quot;°&quot;"/>
    <numFmt numFmtId="169" formatCode="0&quot; года&quot;"/>
    <numFmt numFmtId="170" formatCode="0&quot; мес.&quot;"/>
    <numFmt numFmtId="171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5" fontId="2" fillId="5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165" fontId="3" fillId="0" borderId="2" applyAlignment="1" pivotButton="0" quotePrefix="0" xfId="0">
      <alignment horizontal="right" vertical="center"/>
    </xf>
    <xf numFmtId="9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4" fontId="2" fillId="5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3" fontId="2" fillId="5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 vertical="center"/>
    </xf>
    <xf numFmtId="167" fontId="2" fillId="0" borderId="2" applyAlignment="1" pivotButton="0" quotePrefix="0" xfId="0">
      <alignment horizontal="right" vertical="center"/>
    </xf>
    <xf numFmtId="168" fontId="2" fillId="4" borderId="2" applyAlignment="1" pivotButton="0" quotePrefix="0" xfId="0">
      <alignment horizontal="center" vertical="center" wrapText="1"/>
    </xf>
    <xf numFmtId="0" fontId="4" fillId="0" borderId="0" pivotButton="0" quotePrefix="0" xfId="0"/>
    <xf numFmtId="169" fontId="2" fillId="3" borderId="2" applyAlignment="1" pivotButton="0" quotePrefix="0" xfId="0">
      <alignment horizontal="right" vertical="center"/>
    </xf>
    <xf numFmtId="170" fontId="2" fillId="3" borderId="2" applyAlignment="1" pivotButton="0" quotePrefix="0" xfId="0">
      <alignment horizontal="right" vertical="center"/>
    </xf>
    <xf numFmtId="10" fontId="2" fillId="3" borderId="2" applyAlignment="1" pivotButton="0" quotePrefix="0" xfId="0">
      <alignment horizontal="right" vertical="center"/>
    </xf>
    <xf numFmtId="171" fontId="2" fillId="4" borderId="2" applyAlignment="1" pivotButton="0" quotePrefix="0" xfId="0">
      <alignment horizontal="right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165" fontId="2" fillId="5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23" customWidth="1" min="7" max="7"/>
    <col width="12" customWidth="1" min="8" max="8"/>
    <col width="16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4" customWidth="1" min="19" max="19"/>
    <col width="24" customWidth="1" min="20" max="20"/>
    <col width="11" customWidth="1" min="21" max="21"/>
    <col width="11" customWidth="1" min="22" max="22"/>
    <col width="17" customWidth="1" min="23" max="23"/>
    <col width="20" customWidth="1" min="24" max="24"/>
    <col width="22" customWidth="1" min="25" max="25"/>
    <col width="21" customWidth="1" min="26" max="26"/>
    <col width="38" customWidth="1" min="27" max="27"/>
    <col width="33" customWidth="1" min="28" max="28"/>
    <col width="38" customWidth="1" min="29" max="29"/>
  </cols>
  <sheetData>
    <row r="1">
      <c r="A1" s="1" t="inlineStr">
        <is>
          <t>№ детали</t>
        </is>
      </c>
      <c r="B1" s="1" t="inlineStr">
        <is>
          <t>Радиус R (мм)</t>
        </is>
      </c>
      <c r="C1" s="1" t="inlineStr">
        <is>
          <t>Высота h (мм)</t>
        </is>
      </c>
      <c r="D1" s="1" t="inlineStr">
        <is>
          <t>Масса m (кг)</t>
        </is>
      </c>
      <c r="E1" s="1" t="inlineStr">
        <is>
          <t>Длина L (мм)</t>
        </is>
      </c>
      <c r="F1" s="1" t="inlineStr">
        <is>
          <t>Диаметр (мм)</t>
        </is>
      </c>
      <c r="G1" s="1" t="inlineStr">
        <is>
          <t>Объем (мм³)</t>
        </is>
      </c>
      <c r="H1" s="1" t="inlineStr">
        <is>
          <t>√V</t>
        </is>
      </c>
      <c r="I1" s="1" t="inlineStr">
        <is>
          <t>|m − 3|</t>
        </is>
      </c>
      <c r="J1" s="2" t="inlineStr">
        <is>
          <t>Норма массы:</t>
        </is>
      </c>
      <c r="K1" s="3" t="n">
        <v>3</v>
      </c>
      <c r="S1" s="4" t="inlineStr">
        <is>
          <t>Начальная сумма:</t>
        </is>
      </c>
      <c r="T1" s="27" t="n">
        <v>100000</v>
      </c>
      <c r="W1" s="2" t="inlineStr">
        <is>
          <t>Угол α (град):</t>
        </is>
      </c>
      <c r="X1" s="1" t="inlineStr">
        <is>
          <t>Длина дуги (мм)</t>
        </is>
      </c>
      <c r="Y1" s="3" t="n">
        <v>60</v>
      </c>
      <c r="Z1" s="1" t="inlineStr">
        <is>
          <t>Дуга через RADIANS</t>
        </is>
      </c>
      <c r="AA1" s="28">
        <f>SUM(D2:D8)</f>
        <v/>
      </c>
      <c r="AB1" s="4" t="inlineStr">
        <is>
          <t>Общая масса всех деталей:</t>
        </is>
      </c>
      <c r="AC1" s="28">
        <f>SUM(D2:D8)</f>
        <v/>
      </c>
    </row>
    <row r="2">
      <c r="A2" s="7" t="n">
        <v>1</v>
      </c>
      <c r="B2" s="29" t="n">
        <v>12.5</v>
      </c>
      <c r="C2" s="29" t="n">
        <v>30</v>
      </c>
      <c r="D2" s="29" t="n">
        <v>2.4</v>
      </c>
      <c r="E2" s="29" t="n">
        <v>145</v>
      </c>
      <c r="F2" s="29">
        <f>2*B2</f>
        <v/>
      </c>
      <c r="G2" s="29">
        <f>PI()*POWER(B2,2)*C2</f>
        <v/>
      </c>
      <c r="H2" s="29">
        <f>SQRT(G2)</f>
        <v/>
      </c>
      <c r="I2" s="29">
        <f>ABS(D2-$K$1)</f>
        <v/>
      </c>
      <c r="S2" s="4" t="inlineStr">
        <is>
          <t>Ставка годовая:</t>
        </is>
      </c>
      <c r="T2" s="9" t="n">
        <v>0.12</v>
      </c>
      <c r="X2" s="29">
        <f>PI()*B2*$Y$1/180</f>
        <v/>
      </c>
      <c r="Z2" s="29">
        <f>B2*RADIANS($Y$1)</f>
        <v/>
      </c>
      <c r="AA2" s="28">
        <f>SUMIF(D2:D8,"&gt;2")</f>
        <v/>
      </c>
      <c r="AB2" s="4" t="inlineStr">
        <is>
          <t>Масса деталей &gt; 2 кг:</t>
        </is>
      </c>
      <c r="AC2" s="28">
        <f>SUMIF(D2:D8,"&gt;2")</f>
        <v/>
      </c>
    </row>
    <row r="3">
      <c r="A3" s="7" t="n">
        <v>2</v>
      </c>
      <c r="B3" s="29" t="n">
        <v>8.300000000000001</v>
      </c>
      <c r="C3" s="29" t="n">
        <v>25</v>
      </c>
      <c r="D3" s="29" t="n">
        <v>1.1</v>
      </c>
      <c r="E3" s="29" t="n">
        <v>98</v>
      </c>
      <c r="F3" s="29">
        <f>2*B3</f>
        <v/>
      </c>
      <c r="G3" s="29">
        <f>PI()*POWER(B3,2)*C3</f>
        <v/>
      </c>
      <c r="H3" s="29">
        <f>SQRT(G3)</f>
        <v/>
      </c>
      <c r="I3" s="29">
        <f>ABS(D3-$K$1)</f>
        <v/>
      </c>
      <c r="S3" s="4" t="inlineStr">
        <is>
          <t>Срок (лет):</t>
        </is>
      </c>
      <c r="T3" s="10" t="n">
        <v>5</v>
      </c>
      <c r="X3" s="29">
        <f>PI()*B3*$Y$1/180</f>
        <v/>
      </c>
      <c r="Z3" s="29">
        <f>B3*RADIANS($Y$1)</f>
        <v/>
      </c>
      <c r="AA3" s="11">
        <f>SUMPRODUCT(D2:D8,E2:E8)/SUM(E2:E8)</f>
        <v/>
      </c>
      <c r="AB3" s="4" t="inlineStr">
        <is>
          <t>Средневзвешенная масса (по L):</t>
        </is>
      </c>
      <c r="AC3" s="11">
        <f>SUMPRODUCT(D2:D8,E2:E8)/SUM(E2:E8)</f>
        <v/>
      </c>
    </row>
    <row r="4">
      <c r="A4" s="7" t="n">
        <v>3</v>
      </c>
      <c r="B4" s="29" t="n">
        <v>15.7</v>
      </c>
      <c r="C4" s="29" t="n">
        <v>40</v>
      </c>
      <c r="D4" s="29" t="n">
        <v>4</v>
      </c>
      <c r="E4" s="29" t="n">
        <v>210</v>
      </c>
      <c r="F4" s="29">
        <f>2*B4</f>
        <v/>
      </c>
      <c r="G4" s="29">
        <f>PI()*POWER(B4,2)*C4</f>
        <v/>
      </c>
      <c r="H4" s="29">
        <f>SQRT(G4)</f>
        <v/>
      </c>
      <c r="I4" s="29">
        <f>ABS(D4-$K$1)</f>
        <v/>
      </c>
      <c r="S4" s="12" t="inlineStr">
        <is>
          <t>Дискретный рост (СТЕПЕНЬ):</t>
        </is>
      </c>
      <c r="T4" s="30">
        <f>T1*POWER(1+T2,T3)</f>
        <v/>
      </c>
      <c r="X4" s="29">
        <f>PI()*B4*$Y$1/180</f>
        <v/>
      </c>
      <c r="Z4" s="29">
        <f>B4*RADIANS($Y$1)</f>
        <v/>
      </c>
      <c r="AA4" s="14">
        <f>COUNTIF(D2:D8,"&gt;2")</f>
        <v/>
      </c>
      <c r="AB4" s="4" t="inlineStr">
        <is>
          <t>Количество деталей &gt; 2 кг:</t>
        </is>
      </c>
      <c r="AC4" s="14">
        <f>COUNTIF(D2:D8,"&gt;2")</f>
        <v/>
      </c>
    </row>
    <row r="5">
      <c r="A5" s="7" t="n">
        <v>4</v>
      </c>
      <c r="B5" s="29" t="n">
        <v>6.2</v>
      </c>
      <c r="C5" s="29" t="n">
        <v>18</v>
      </c>
      <c r="D5" s="29" t="n">
        <v>0.7</v>
      </c>
      <c r="E5" s="29" t="n">
        <v>75</v>
      </c>
      <c r="F5" s="29">
        <f>2*B5</f>
        <v/>
      </c>
      <c r="G5" s="29">
        <f>PI()*POWER(B5,2)*C5</f>
        <v/>
      </c>
      <c r="H5" s="29">
        <f>SQRT(G5)</f>
        <v/>
      </c>
      <c r="I5" s="29">
        <f>ABS(D5-$K$1)</f>
        <v/>
      </c>
      <c r="S5" s="12" t="inlineStr">
        <is>
          <t>Непрерывный рост (ЭКСП):</t>
        </is>
      </c>
      <c r="T5" s="30">
        <f>T1*EXP(T2*T3)</f>
        <v/>
      </c>
      <c r="X5" s="29">
        <f>PI()*B5*$Y$1/180</f>
        <v/>
      </c>
      <c r="Z5" s="29">
        <f>B5*RADIANS($Y$1)</f>
        <v/>
      </c>
      <c r="AA5" s="11">
        <f>AVERAGE(D2:D8)</f>
        <v/>
      </c>
      <c r="AB5" s="4" t="inlineStr">
        <is>
          <t>Средняя масса:</t>
        </is>
      </c>
      <c r="AC5" s="11">
        <f>AVERAGE(D2:D8)</f>
        <v/>
      </c>
    </row>
    <row r="6">
      <c r="A6" s="7" t="n">
        <v>5</v>
      </c>
      <c r="B6" s="29" t="n">
        <v>20.1</v>
      </c>
      <c r="C6" s="29" t="n">
        <v>55</v>
      </c>
      <c r="D6" s="29" t="n">
        <v>6.5</v>
      </c>
      <c r="E6" s="29" t="n">
        <v>320</v>
      </c>
      <c r="F6" s="29">
        <f>2*B6</f>
        <v/>
      </c>
      <c r="G6" s="29">
        <f>PI()*POWER(B6,2)*C6</f>
        <v/>
      </c>
      <c r="H6" s="29">
        <f>SQRT(G6)</f>
        <v/>
      </c>
      <c r="I6" s="29">
        <f>ABS(D6-$K$1)</f>
        <v/>
      </c>
      <c r="S6" s="12" t="inlineStr">
        <is>
          <t>Удвоение капитала (правило 72):</t>
        </is>
      </c>
      <c r="T6" s="15">
        <f>72/(T2*100)</f>
        <v/>
      </c>
      <c r="X6" s="29">
        <f>PI()*B6*$Y$1/180</f>
        <v/>
      </c>
      <c r="Z6" s="29">
        <f>B6*RADIANS($Y$1)</f>
        <v/>
      </c>
      <c r="AA6" s="28">
        <f>MAX(D2:D8)</f>
        <v/>
      </c>
      <c r="AB6" s="4" t="inlineStr">
        <is>
          <t>Максимальная масса:</t>
        </is>
      </c>
      <c r="AC6" s="28">
        <f>MAX(D2:D8)</f>
        <v/>
      </c>
    </row>
    <row r="7">
      <c r="A7" s="7" t="n">
        <v>6</v>
      </c>
      <c r="B7" s="29" t="n">
        <v>10.4</v>
      </c>
      <c r="C7" s="29" t="n">
        <v>28</v>
      </c>
      <c r="D7" s="29" t="n">
        <v>1.9</v>
      </c>
      <c r="E7" s="29" t="n">
        <v>130</v>
      </c>
      <c r="F7" s="29">
        <f>2*B7</f>
        <v/>
      </c>
      <c r="G7" s="29">
        <f>PI()*POWER(B7,2)*C7</f>
        <v/>
      </c>
      <c r="H7" s="29">
        <f>SQRT(G7)</f>
        <v/>
      </c>
      <c r="I7" s="29">
        <f>ABS(D7-$K$1)</f>
        <v/>
      </c>
      <c r="S7" s="12" t="inlineStr">
        <is>
          <t>Точное удвоение (LN):</t>
        </is>
      </c>
      <c r="T7" s="16">
        <f>LN(2)/LN(1+T2)</f>
        <v/>
      </c>
      <c r="X7" s="29">
        <f>PI()*B7*$Y$1/180</f>
        <v/>
      </c>
      <c r="Z7" s="29">
        <f>B7*RADIANS($Y$1)</f>
        <v/>
      </c>
      <c r="AA7" s="28">
        <f>MIN(D2:D8)</f>
        <v/>
      </c>
      <c r="AB7" s="4" t="inlineStr">
        <is>
          <t>Минимальная масса:</t>
        </is>
      </c>
      <c r="AC7" s="28">
        <f>MIN(D2:D8)</f>
        <v/>
      </c>
    </row>
    <row r="8">
      <c r="A8" s="7" t="n">
        <v>7</v>
      </c>
      <c r="B8" s="29" t="n">
        <v>18.9</v>
      </c>
      <c r="C8" s="29" t="n">
        <v>48</v>
      </c>
      <c r="D8" s="29" t="n">
        <v>5.2</v>
      </c>
      <c r="E8" s="29" t="n">
        <v>275</v>
      </c>
      <c r="F8" s="29">
        <f>2*B8</f>
        <v/>
      </c>
      <c r="G8" s="29">
        <f>PI()*POWER(B8,2)*C8</f>
        <v/>
      </c>
      <c r="H8" s="29">
        <f>SQRT(G8)</f>
        <v/>
      </c>
      <c r="I8" s="29">
        <f>ABS(D8-$K$1)</f>
        <v/>
      </c>
      <c r="X8" s="29">
        <f>PI()*B8*$Y$1/180</f>
        <v/>
      </c>
      <c r="Z8" s="29">
        <f>B8*RADIANS($Y$1)</f>
        <v/>
      </c>
    </row>
    <row r="9"/>
    <row r="10">
      <c r="Y10" s="2" t="inlineStr">
        <is>
          <t>Обратное (ГРАДУСЫ):</t>
        </is>
      </c>
      <c r="Z10" s="17">
        <f>DEGREES(PI()/3)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18" customWidth="1" min="4" max="4"/>
    <col width="16" customWidth="1" min="5" max="5"/>
  </cols>
  <sheetData>
    <row r="1">
      <c r="A1" s="18" t="inlineStr">
        <is>
          <t>РАСЧЕТ АННУИТЕТНОГО КРЕДИТА</t>
        </is>
      </c>
    </row>
    <row r="2"/>
    <row r="3">
      <c r="A3" s="4" t="inlineStr">
        <is>
          <t>Сумма кредита (руб.):</t>
        </is>
      </c>
      <c r="B3" s="27" t="n">
        <v>500000</v>
      </c>
    </row>
    <row r="4">
      <c r="A4" s="4" t="inlineStr">
        <is>
          <t>Годовая процентная ставка:</t>
        </is>
      </c>
      <c r="B4" s="9" t="n">
        <v>0.18</v>
      </c>
    </row>
    <row r="5">
      <c r="A5" s="4" t="inlineStr">
        <is>
          <t>Срок кредитования (лет):</t>
        </is>
      </c>
      <c r="B5" s="19" t="n">
        <v>3</v>
      </c>
    </row>
    <row r="6">
      <c r="A6" s="4" t="inlineStr">
        <is>
          <t>Срок кредитования (месяцев):</t>
        </is>
      </c>
      <c r="B6" s="20">
        <f>B5*12</f>
        <v/>
      </c>
    </row>
    <row r="7">
      <c r="A7" s="4" t="inlineStr">
        <is>
          <t>Месячная процентная ставка:</t>
        </is>
      </c>
      <c r="B7" s="21">
        <f>B4/12</f>
        <v/>
      </c>
    </row>
    <row r="8"/>
    <row r="9">
      <c r="A9" s="4" t="inlineStr">
        <is>
          <t>Ежемесячный платеж (ПЛТ):</t>
        </is>
      </c>
      <c r="B9" s="30">
        <f>PMT(B7,B6,-B3)</f>
        <v/>
      </c>
    </row>
    <row r="10">
      <c r="A10" s="4" t="inlineStr">
        <is>
          <t>Общая сумма выплат банку:</t>
        </is>
      </c>
      <c r="B10" s="30">
        <f>B9*B6</f>
        <v/>
      </c>
    </row>
    <row r="11">
      <c r="A11" s="4" t="inlineStr">
        <is>
          <t>Суммарная переплата (проценты):</t>
        </is>
      </c>
      <c r="B11" s="30">
        <f>B10-B3</f>
        <v/>
      </c>
    </row>
    <row r="12">
      <c r="A12" s="4" t="inlineStr">
        <is>
          <t>Переплата в процентах:</t>
        </is>
      </c>
      <c r="B12" s="22">
        <f>B11/B3</f>
        <v/>
      </c>
    </row>
    <row r="13"/>
    <row r="14">
      <c r="A14" s="23" t="inlineStr">
        <is>
          <t>ГРАФИК ПЛАТЕЖЕЙ ПО МЕСЯЦАМ</t>
        </is>
      </c>
    </row>
    <row r="15">
      <c r="A15" s="24" t="inlineStr">
        <is>
          <t>Месяц</t>
        </is>
      </c>
      <c r="B15" s="24" t="inlineStr">
        <is>
          <t>Остаток долга</t>
        </is>
      </c>
      <c r="C15" s="24" t="inlineStr">
        <is>
          <t>Платеж (руб.)</t>
        </is>
      </c>
      <c r="D15" s="24" t="inlineStr">
        <is>
          <t>В т.ч. проценты</t>
        </is>
      </c>
      <c r="E15" s="24" t="inlineStr">
        <is>
          <t>Основной долг</t>
        </is>
      </c>
    </row>
    <row r="16">
      <c r="A16" s="25" t="n">
        <v>1</v>
      </c>
      <c r="B16" s="31">
        <f>B3</f>
        <v/>
      </c>
      <c r="C16" s="31">
        <f>$B$9</f>
        <v/>
      </c>
      <c r="D16" s="31">
        <f>B16*$B$7</f>
        <v/>
      </c>
      <c r="E16" s="31">
        <f>C16-D16</f>
        <v/>
      </c>
    </row>
    <row r="17">
      <c r="A17" s="25" t="n">
        <v>2</v>
      </c>
      <c r="B17" s="31">
        <f>B16-E16</f>
        <v/>
      </c>
      <c r="C17" s="31">
        <f>$B$9</f>
        <v/>
      </c>
      <c r="D17" s="31">
        <f>B17*$B$7</f>
        <v/>
      </c>
      <c r="E17" s="31">
        <f>C17-D17</f>
        <v/>
      </c>
    </row>
    <row r="18">
      <c r="A18" s="25" t="n">
        <v>3</v>
      </c>
      <c r="B18" s="31">
        <f>B17-E17</f>
        <v/>
      </c>
      <c r="C18" s="31">
        <f>$B$9</f>
        <v/>
      </c>
      <c r="D18" s="31">
        <f>B18*$B$7</f>
        <v/>
      </c>
      <c r="E18" s="31">
        <f>C18-D18</f>
        <v/>
      </c>
    </row>
    <row r="19">
      <c r="A19" s="25" t="n">
        <v>4</v>
      </c>
      <c r="B19" s="31">
        <f>B18-E18</f>
        <v/>
      </c>
      <c r="C19" s="31">
        <f>$B$9</f>
        <v/>
      </c>
      <c r="D19" s="31">
        <f>B19*$B$7</f>
        <v/>
      </c>
      <c r="E19" s="31">
        <f>C19-D19</f>
        <v/>
      </c>
    </row>
    <row r="20">
      <c r="A20" s="25" t="n">
        <v>5</v>
      </c>
      <c r="B20" s="31">
        <f>B19-E19</f>
        <v/>
      </c>
      <c r="C20" s="31">
        <f>$B$9</f>
        <v/>
      </c>
      <c r="D20" s="31">
        <f>B20*$B$7</f>
        <v/>
      </c>
      <c r="E20" s="31">
        <f>C20-D20</f>
        <v/>
      </c>
    </row>
    <row r="21">
      <c r="A21" s="25" t="n">
        <v>6</v>
      </c>
      <c r="B21" s="31">
        <f>B20-E20</f>
        <v/>
      </c>
      <c r="C21" s="31">
        <f>$B$9</f>
        <v/>
      </c>
      <c r="D21" s="31">
        <f>B21*$B$7</f>
        <v/>
      </c>
      <c r="E21" s="31">
        <f>C21-D21</f>
        <v/>
      </c>
    </row>
    <row r="22">
      <c r="A22" s="25" t="n">
        <v>7</v>
      </c>
      <c r="B22" s="31">
        <f>B21-E21</f>
        <v/>
      </c>
      <c r="C22" s="31">
        <f>$B$9</f>
        <v/>
      </c>
      <c r="D22" s="31">
        <f>B22*$B$7</f>
        <v/>
      </c>
      <c r="E22" s="31">
        <f>C22-D22</f>
        <v/>
      </c>
    </row>
    <row r="23">
      <c r="A23" s="25" t="n">
        <v>8</v>
      </c>
      <c r="B23" s="31">
        <f>B22-E22</f>
        <v/>
      </c>
      <c r="C23" s="31">
        <f>$B$9</f>
        <v/>
      </c>
      <c r="D23" s="31">
        <f>B23*$B$7</f>
        <v/>
      </c>
      <c r="E23" s="31">
        <f>C23-D23</f>
        <v/>
      </c>
    </row>
    <row r="24">
      <c r="A24" s="25" t="n">
        <v>9</v>
      </c>
      <c r="B24" s="31">
        <f>B23-E23</f>
        <v/>
      </c>
      <c r="C24" s="31">
        <f>$B$9</f>
        <v/>
      </c>
      <c r="D24" s="31">
        <f>B24*$B$7</f>
        <v/>
      </c>
      <c r="E24" s="31">
        <f>C24-D24</f>
        <v/>
      </c>
    </row>
    <row r="25">
      <c r="A25" s="25" t="n">
        <v>10</v>
      </c>
      <c r="B25" s="31">
        <f>B24-E24</f>
        <v/>
      </c>
      <c r="C25" s="31">
        <f>$B$9</f>
        <v/>
      </c>
      <c r="D25" s="31">
        <f>B25*$B$7</f>
        <v/>
      </c>
      <c r="E25" s="31">
        <f>C25-D25</f>
        <v/>
      </c>
    </row>
    <row r="26">
      <c r="A26" s="25" t="n">
        <v>11</v>
      </c>
      <c r="B26" s="31">
        <f>B25-E25</f>
        <v/>
      </c>
      <c r="C26" s="31">
        <f>$B$9</f>
        <v/>
      </c>
      <c r="D26" s="31">
        <f>B26*$B$7</f>
        <v/>
      </c>
      <c r="E26" s="31">
        <f>C26-D26</f>
        <v/>
      </c>
    </row>
    <row r="27">
      <c r="A27" s="25" t="n">
        <v>12</v>
      </c>
      <c r="B27" s="31">
        <f>B26-E26</f>
        <v/>
      </c>
      <c r="C27" s="31">
        <f>$B$9</f>
        <v/>
      </c>
      <c r="D27" s="31">
        <f>B27*$B$7</f>
        <v/>
      </c>
      <c r="E27" s="31">
        <f>C27-D27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2026-10-05T09:42:38Z</dcterms:created>
  <dcterms:modified xmlns:dcterms="http://purl.org/dc/terms/" xmlns:xsi="http://www.w3.org/2001/XMLSchema-instance" xsi:type="dcterms:W3CDTF">2026-10-05T13:21:43Z</dcterms:modified>
</cp:coreProperties>
</file>