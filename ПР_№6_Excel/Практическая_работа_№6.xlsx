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#,##0 &quot;₽&quot;"/>
    <numFmt numFmtId="166" formatCode="0 &quot;шт.&quot;"/>
    <numFmt numFmtId="167" formatCode="#,##0.00 &quot;₽&quot;"/>
    <numFmt numFmtId="168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double">
        <color rgb="001F4E7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0" fillId="3" borderId="2" pivotButton="0" quotePrefix="0" xfId="0"/>
    <xf numFmtId="0" fontId="4" fillId="3" borderId="2" applyAlignment="1" pivotButton="0" quotePrefix="0" xfId="0">
      <alignment horizontal="left" vertical="center"/>
    </xf>
    <xf numFmtId="1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0" fillId="3" borderId="3" pivotButton="0" quotePrefix="0" xfId="0"/>
    <xf numFmtId="0" fontId="4" fillId="3" borderId="3" applyAlignment="1" pivotButton="0" quotePrefix="0" xfId="0">
      <alignment horizontal="left" vertical="center"/>
    </xf>
    <xf numFmtId="1" fontId="4" fillId="3" borderId="3" applyAlignment="1" pivotButton="0" quotePrefix="0" xfId="0">
      <alignment horizontal="right" vertical="center"/>
    </xf>
    <xf numFmtId="164" fontId="4" fillId="3" borderId="3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10" fontId="0" fillId="0" borderId="2" applyAlignment="1" pivotButton="0" quotePrefix="0" xfId="0">
      <alignment horizontal="right" vertical="center"/>
    </xf>
    <xf numFmtId="3" fontId="4" fillId="3" borderId="3" applyAlignment="1" pivotButton="0" quotePrefix="0" xfId="0">
      <alignment horizontal="right" vertical="center"/>
    </xf>
    <xf numFmtId="165" fontId="4" fillId="3" borderId="3" applyAlignment="1" pivotButton="0" quotePrefix="0" xfId="0">
      <alignment horizontal="right" vertical="center"/>
    </xf>
    <xf numFmtId="10" fontId="4" fillId="3" borderId="3" applyAlignment="1" pivotButton="0" quotePrefix="0" xfId="0">
      <alignment horizontal="right" vertical="center"/>
    </xf>
    <xf numFmtId="0" fontId="4" fillId="0" borderId="0" pivotButton="0" quotePrefix="0" xfId="0"/>
    <xf numFmtId="165" fontId="5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7" fontId="5" fillId="0" borderId="2" applyAlignment="1" pivotButton="0" quotePrefix="0" xfId="0">
      <alignment horizontal="right" vertical="center"/>
    </xf>
    <xf numFmtId="49" fontId="5" fillId="0" borderId="2" applyAlignment="1" pivotButton="0" quotePrefix="0" xfId="0">
      <alignment horizontal="right" vertical="center"/>
    </xf>
    <xf numFmtId="168" fontId="5" fillId="0" borderId="2" applyAlignment="1" pivotButton="0" quotePrefix="0" xfId="0">
      <alignment horizontal="right" vertical="center"/>
    </xf>
    <xf numFmtId="49" fontId="5" fillId="0" borderId="2" applyAlignment="1" pivotButton="0" quotePrefix="0" xfId="0">
      <alignment horizontal="center" vertical="center"/>
    </xf>
    <xf numFmtId="4" fontId="5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7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8" customWidth="1" min="4" max="4"/>
    <col width="16" customWidth="1" min="5" max="5"/>
    <col width="15" customWidth="1" min="6" max="6"/>
    <col width="15" customWidth="1" min="7" max="7"/>
    <col width="12" customWidth="1" min="8" max="8"/>
    <col width="10" customWidth="1" min="9" max="9"/>
  </cols>
  <sheetData>
    <row r="1">
      <c r="A1" s="1" t="inlineStr">
        <is>
          <t>Успеваемость студентов группы по информатике</t>
        </is>
      </c>
    </row>
    <row r="2">
      <c r="A2" s="2" t="inlineStr">
        <is>
          <t>Практическая работа №6 | Выполнил: студент Концевич В.</t>
        </is>
      </c>
    </row>
    <row r="3"/>
    <row r="4">
      <c r="A4" s="3" t="inlineStr">
        <is>
          <t>№</t>
        </is>
      </c>
      <c r="B4" s="3" t="inlineStr">
        <is>
          <t>ФИО студента</t>
        </is>
      </c>
      <c r="C4" s="3" t="inlineStr">
        <is>
          <t>Балл 1 (тест)</t>
        </is>
      </c>
      <c r="D4" s="3" t="inlineStr">
        <is>
          <t>Балл 2 (практика)</t>
        </is>
      </c>
      <c r="E4" s="3" t="inlineStr">
        <is>
          <t>Балл 3 (проект)</t>
        </is>
      </c>
      <c r="F4" s="3" t="inlineStr">
        <is>
          <t>Сумма баллов</t>
        </is>
      </c>
      <c r="G4" s="3" t="inlineStr">
        <is>
          <t>Средний балл</t>
        </is>
      </c>
      <c r="H4" s="3" t="inlineStr">
        <is>
          <t>Оценка</t>
        </is>
      </c>
      <c r="I4" s="3" t="inlineStr">
        <is>
          <t>Ранг</t>
        </is>
      </c>
    </row>
    <row r="5">
      <c r="A5" s="4" t="n">
        <v>1</v>
      </c>
      <c r="B5" s="5" t="inlineStr">
        <is>
          <t>Иванов И.И.</t>
        </is>
      </c>
      <c r="C5" s="6" t="n">
        <v>85</v>
      </c>
      <c r="D5" s="6" t="n">
        <v>78</v>
      </c>
      <c r="E5" s="6" t="n">
        <v>92</v>
      </c>
      <c r="F5" s="6">
        <f>SUM(C5:E5)</f>
        <v/>
      </c>
      <c r="G5" s="7">
        <f>AVERAGE(C5:E5)</f>
        <v/>
      </c>
      <c r="H5" s="4">
        <f>IF(G5&gt;=85, 5, IF(G5&gt;=70, 4, IF(G5&gt;=50, 3, 2)))</f>
        <v/>
      </c>
      <c r="I5" s="4">
        <f>RANK(F5, $F$5:$F$19)</f>
        <v/>
      </c>
    </row>
    <row r="6">
      <c r="A6" s="4" t="n">
        <v>2</v>
      </c>
      <c r="B6" s="5" t="inlineStr">
        <is>
          <t>Петров П.П.</t>
        </is>
      </c>
      <c r="C6" s="6" t="n">
        <v>72</v>
      </c>
      <c r="D6" s="6" t="n">
        <v>65</v>
      </c>
      <c r="E6" s="6" t="n">
        <v>80</v>
      </c>
      <c r="F6" s="6">
        <f>SUM(C6:E6)</f>
        <v/>
      </c>
      <c r="G6" s="7">
        <f>AVERAGE(C6:E6)</f>
        <v/>
      </c>
      <c r="H6" s="4">
        <f>IF(G6&gt;=85, 5, IF(G6&gt;=70, 4, IF(G6&gt;=50, 3, 2)))</f>
        <v/>
      </c>
      <c r="I6" s="4">
        <f>RANK(F6, $F$5:$F$19)</f>
        <v/>
      </c>
    </row>
    <row r="7">
      <c r="A7" s="4" t="n">
        <v>3</v>
      </c>
      <c r="B7" s="5" t="inlineStr">
        <is>
          <t>Сидорова С.С.</t>
        </is>
      </c>
      <c r="C7" s="6" t="n">
        <v>95</v>
      </c>
      <c r="D7" s="6" t="n">
        <v>88</v>
      </c>
      <c r="E7" s="6" t="n">
        <v>98</v>
      </c>
      <c r="F7" s="6">
        <f>SUM(C7:E7)</f>
        <v/>
      </c>
      <c r="G7" s="7">
        <f>AVERAGE(C7:E7)</f>
        <v/>
      </c>
      <c r="H7" s="4">
        <f>IF(G7&gt;=85, 5, IF(G7&gt;=70, 4, IF(G7&gt;=50, 3, 2)))</f>
        <v/>
      </c>
      <c r="I7" s="4">
        <f>RANK(F7, $F$5:$F$19)</f>
        <v/>
      </c>
    </row>
    <row r="8">
      <c r="A8" s="4" t="n">
        <v>4</v>
      </c>
      <c r="B8" s="5" t="inlineStr">
        <is>
          <t>Кузнецов К.К.</t>
        </is>
      </c>
      <c r="C8" s="6" t="n">
        <v>65</v>
      </c>
      <c r="D8" s="6" t="n">
        <v>55</v>
      </c>
      <c r="E8" s="6" t="n">
        <v>70</v>
      </c>
      <c r="F8" s="6">
        <f>SUM(C8:E8)</f>
        <v/>
      </c>
      <c r="G8" s="7">
        <f>AVERAGE(C8:E8)</f>
        <v/>
      </c>
      <c r="H8" s="4">
        <f>IF(G8&gt;=85, 5, IF(G8&gt;=70, 4, IF(G8&gt;=50, 3, 2)))</f>
        <v/>
      </c>
      <c r="I8" s="4">
        <f>RANK(F8, $F$5:$F$19)</f>
        <v/>
      </c>
    </row>
    <row r="9">
      <c r="A9" s="4" t="n">
        <v>5</v>
      </c>
      <c r="B9" s="5" t="inlineStr">
        <is>
          <t>Смирнова С.С.</t>
        </is>
      </c>
      <c r="C9" s="6" t="n">
        <v>78</v>
      </c>
      <c r="D9" s="6" t="n">
        <v>82</v>
      </c>
      <c r="E9" s="6" t="n">
        <v>85</v>
      </c>
      <c r="F9" s="6">
        <f>SUM(C9:E9)</f>
        <v/>
      </c>
      <c r="G9" s="7">
        <f>AVERAGE(C9:E9)</f>
        <v/>
      </c>
      <c r="H9" s="4">
        <f>IF(G9&gt;=85, 5, IF(G9&gt;=70, 4, IF(G9&gt;=50, 3, 2)))</f>
        <v/>
      </c>
      <c r="I9" s="4">
        <f>RANK(F9, $F$5:$F$19)</f>
        <v/>
      </c>
    </row>
    <row r="10">
      <c r="A10" s="4" t="n">
        <v>6</v>
      </c>
      <c r="B10" s="5" t="inlineStr">
        <is>
          <t>Волков В.В.</t>
        </is>
      </c>
      <c r="C10" s="6" t="n">
        <v>88</v>
      </c>
      <c r="D10" s="6" t="n">
        <v>90</v>
      </c>
      <c r="E10" s="6" t="n">
        <v>95</v>
      </c>
      <c r="F10" s="6">
        <f>SUM(C10:E10)</f>
        <v/>
      </c>
      <c r="G10" s="7">
        <f>AVERAGE(C10:E10)</f>
        <v/>
      </c>
      <c r="H10" s="4">
        <f>IF(G10&gt;=85, 5, IF(G10&gt;=70, 4, IF(G10&gt;=50, 3, 2)))</f>
        <v/>
      </c>
      <c r="I10" s="4">
        <f>RANK(F10, $F$5:$F$19)</f>
        <v/>
      </c>
    </row>
    <row r="11">
      <c r="A11" s="4" t="n">
        <v>7</v>
      </c>
      <c r="B11" s="5" t="inlineStr">
        <is>
          <t>Морозова М.М.</t>
        </is>
      </c>
      <c r="C11" s="6" t="n">
        <v>65</v>
      </c>
      <c r="D11" s="6" t="n">
        <v>70</v>
      </c>
      <c r="E11" s="6" t="n">
        <v>68</v>
      </c>
      <c r="F11" s="6">
        <f>SUM(C11:E11)</f>
        <v/>
      </c>
      <c r="G11" s="7">
        <f>AVERAGE(C11:E11)</f>
        <v/>
      </c>
      <c r="H11" s="4">
        <f>IF(G11&gt;=85, 5, IF(G11&gt;=70, 4, IF(G11&gt;=50, 3, 2)))</f>
        <v/>
      </c>
      <c r="I11" s="4">
        <f>RANK(F11, $F$5:$F$19)</f>
        <v/>
      </c>
    </row>
    <row r="12">
      <c r="A12" s="4" t="n">
        <v>8</v>
      </c>
      <c r="B12" s="5" t="inlineStr">
        <is>
          <t>Новиков Н.Н.</t>
        </is>
      </c>
      <c r="C12" s="6" t="n">
        <v>92</v>
      </c>
      <c r="D12" s="6" t="n">
        <v>85</v>
      </c>
      <c r="E12" s="6" t="n">
        <v>88</v>
      </c>
      <c r="F12" s="6">
        <f>SUM(C12:E12)</f>
        <v/>
      </c>
      <c r="G12" s="7">
        <f>AVERAGE(C12:E12)</f>
        <v/>
      </c>
      <c r="H12" s="4">
        <f>IF(G12&gt;=85, 5, IF(G12&gt;=70, 4, IF(G12&gt;=50, 3, 2)))</f>
        <v/>
      </c>
      <c r="I12" s="4">
        <f>RANK(F12, $F$5:$F$19)</f>
        <v/>
      </c>
    </row>
    <row r="13">
      <c r="A13" s="4" t="n">
        <v>9</v>
      </c>
      <c r="B13" s="5" t="inlineStr">
        <is>
          <t>Фёдорова Ф.Ф.</t>
        </is>
      </c>
      <c r="C13" s="6" t="n">
        <v>55</v>
      </c>
      <c r="D13" s="6" t="n">
        <v>60</v>
      </c>
      <c r="E13" s="6" t="n">
        <v>58</v>
      </c>
      <c r="F13" s="6">
        <f>SUM(C13:E13)</f>
        <v/>
      </c>
      <c r="G13" s="7">
        <f>AVERAGE(C13:E13)</f>
        <v/>
      </c>
      <c r="H13" s="4">
        <f>IF(G13&gt;=85, 5, IF(G13&gt;=70, 4, IF(G13&gt;=50, 3, 2)))</f>
        <v/>
      </c>
      <c r="I13" s="4">
        <f>RANK(F13, $F$5:$F$19)</f>
        <v/>
      </c>
    </row>
    <row r="14">
      <c r="A14" s="4" t="n">
        <v>10</v>
      </c>
      <c r="B14" s="5" t="inlineStr">
        <is>
          <t>Егоров Е.Е.</t>
        </is>
      </c>
      <c r="C14" s="6" t="n">
        <v>80</v>
      </c>
      <c r="D14" s="6" t="n">
        <v>75</v>
      </c>
      <c r="E14" s="6" t="n">
        <v>82</v>
      </c>
      <c r="F14" s="6">
        <f>SUM(C14:E14)</f>
        <v/>
      </c>
      <c r="G14" s="7">
        <f>AVERAGE(C14:E14)</f>
        <v/>
      </c>
      <c r="H14" s="4">
        <f>IF(G14&gt;=85, 5, IF(G14&gt;=70, 4, IF(G14&gt;=50, 3, 2)))</f>
        <v/>
      </c>
      <c r="I14" s="4">
        <f>RANK(F14, $F$5:$F$19)</f>
        <v/>
      </c>
    </row>
    <row r="15">
      <c r="A15" s="4" t="n">
        <v>11</v>
      </c>
      <c r="B15" s="5" t="inlineStr">
        <is>
          <t>Павлова П.П.</t>
        </is>
      </c>
      <c r="C15" s="6" t="n">
        <v>70</v>
      </c>
      <c r="D15" s="6" t="n">
        <v>68</v>
      </c>
      <c r="E15" s="6" t="n">
        <v>72</v>
      </c>
      <c r="F15" s="6">
        <f>SUM(C15:E15)</f>
        <v/>
      </c>
      <c r="G15" s="7">
        <f>AVERAGE(C15:E15)</f>
        <v/>
      </c>
      <c r="H15" s="4">
        <f>IF(G15&gt;=85, 5, IF(G15&gt;=70, 4, IF(G15&gt;=50, 3, 2)))</f>
        <v/>
      </c>
      <c r="I15" s="4">
        <f>RANK(F15, $F$5:$F$19)</f>
        <v/>
      </c>
    </row>
    <row r="16">
      <c r="A16" s="4" t="n">
        <v>12</v>
      </c>
      <c r="B16" s="5" t="inlineStr">
        <is>
          <t>Соколов С.С.</t>
        </is>
      </c>
      <c r="C16" s="6" t="n">
        <v>90</v>
      </c>
      <c r="D16" s="6" t="n">
        <v>92</v>
      </c>
      <c r="E16" s="6" t="n">
        <v>94</v>
      </c>
      <c r="F16" s="6">
        <f>SUM(C16:E16)</f>
        <v/>
      </c>
      <c r="G16" s="7">
        <f>AVERAGE(C16:E16)</f>
        <v/>
      </c>
      <c r="H16" s="4">
        <f>IF(G16&gt;=85, 5, IF(G16&gt;=70, 4, IF(G16&gt;=50, 3, 2)))</f>
        <v/>
      </c>
      <c r="I16" s="4">
        <f>RANK(F16, $F$5:$F$19)</f>
        <v/>
      </c>
    </row>
    <row r="17">
      <c r="A17" s="4" t="n">
        <v>13</v>
      </c>
      <c r="B17" s="5" t="inlineStr">
        <is>
          <t>Лебедева Л.Л.</t>
        </is>
      </c>
      <c r="C17" s="6" t="n">
        <v>75</v>
      </c>
      <c r="D17" s="6" t="n">
        <v>78</v>
      </c>
      <c r="E17" s="6" t="n">
        <v>80</v>
      </c>
      <c r="F17" s="6">
        <f>SUM(C17:E17)</f>
        <v/>
      </c>
      <c r="G17" s="7">
        <f>AVERAGE(C17:E17)</f>
        <v/>
      </c>
      <c r="H17" s="4">
        <f>IF(G17&gt;=85, 5, IF(G17&gt;=70, 4, IF(G17&gt;=50, 3, 2)))</f>
        <v/>
      </c>
      <c r="I17" s="4">
        <f>RANK(F17, $F$5:$F$19)</f>
        <v/>
      </c>
    </row>
    <row r="18">
      <c r="A18" s="4" t="n">
        <v>14</v>
      </c>
      <c r="B18" s="5" t="inlineStr">
        <is>
          <t>Козлов К.К.</t>
        </is>
      </c>
      <c r="C18" s="6" t="n">
        <v>62</v>
      </c>
      <c r="D18" s="6" t="n">
        <v>58</v>
      </c>
      <c r="E18" s="6" t="n">
        <v>65</v>
      </c>
      <c r="F18" s="6">
        <f>SUM(C18:E18)</f>
        <v/>
      </c>
      <c r="G18" s="7">
        <f>AVERAGE(C18:E18)</f>
        <v/>
      </c>
      <c r="H18" s="4">
        <f>IF(G18&gt;=85, 5, IF(G18&gt;=70, 4, IF(G18&gt;=50, 3, 2)))</f>
        <v/>
      </c>
      <c r="I18" s="4">
        <f>RANK(F18, $F$5:$F$19)</f>
        <v/>
      </c>
    </row>
    <row r="19">
      <c r="A19" s="4" t="n">
        <v>15</v>
      </c>
      <c r="B19" s="5" t="inlineStr">
        <is>
          <t>Степанова С.С.</t>
        </is>
      </c>
      <c r="C19" s="6" t="n">
        <v>98</v>
      </c>
      <c r="D19" s="6" t="n">
        <v>95</v>
      </c>
      <c r="E19" s="6" t="n">
        <v>100</v>
      </c>
      <c r="F19" s="6">
        <f>SUM(C19:E19)</f>
        <v/>
      </c>
      <c r="G19" s="7">
        <f>AVERAGE(C19:E19)</f>
        <v/>
      </c>
      <c r="H19" s="4">
        <f>IF(G19&gt;=85, 5, IF(G19&gt;=70, 4, IF(G19&gt;=50, 3, 2)))</f>
        <v/>
      </c>
      <c r="I19" s="4">
        <f>RANK(F19, $F$5:$F$19)</f>
        <v/>
      </c>
    </row>
    <row r="20">
      <c r="A20" s="8" t="n"/>
      <c r="B20" s="9" t="inlineStr">
        <is>
          <t>Сумма</t>
        </is>
      </c>
      <c r="C20" s="10">
        <f>SUM(C5:C19)</f>
        <v/>
      </c>
      <c r="D20" s="10">
        <f>SUM(D5:D19)</f>
        <v/>
      </c>
      <c r="E20" s="10">
        <f>SUM(E5:E19)</f>
        <v/>
      </c>
      <c r="F20" s="10">
        <f>SUM(F5:F19)</f>
        <v/>
      </c>
      <c r="G20" s="11">
        <f>SUM(G5:G19)</f>
        <v/>
      </c>
      <c r="H20" s="8" t="n"/>
      <c r="I20" s="8" t="n"/>
    </row>
    <row r="21">
      <c r="A21" s="8" t="n"/>
      <c r="B21" s="9" t="inlineStr">
        <is>
          <t>Среднее значение</t>
        </is>
      </c>
      <c r="C21" s="11">
        <f>AVERAGE(C5:C19)</f>
        <v/>
      </c>
      <c r="D21" s="11">
        <f>AVERAGE(D5:D19)</f>
        <v/>
      </c>
      <c r="E21" s="11">
        <f>AVERAGE(E5:E19)</f>
        <v/>
      </c>
      <c r="F21" s="11">
        <f>AVERAGE(F5:F19)</f>
        <v/>
      </c>
      <c r="G21" s="11">
        <f>AVERAGE(G5:G19)</f>
        <v/>
      </c>
      <c r="H21" s="8" t="n"/>
      <c r="I21" s="8" t="n"/>
    </row>
    <row r="22">
      <c r="A22" s="8" t="n"/>
      <c r="B22" s="9" t="inlineStr">
        <is>
          <t>Медиана</t>
        </is>
      </c>
      <c r="C22" s="11">
        <f>MEDIAN(C5:C19)</f>
        <v/>
      </c>
      <c r="D22" s="11">
        <f>MEDIAN(D5:D19)</f>
        <v/>
      </c>
      <c r="E22" s="11">
        <f>MEDIAN(E5:E19)</f>
        <v/>
      </c>
      <c r="F22" s="11">
        <f>MEDIAN(F5:F19)</f>
        <v/>
      </c>
      <c r="G22" s="11">
        <f>MEDIAN(G5:G19)</f>
        <v/>
      </c>
      <c r="H22" s="8" t="n"/>
      <c r="I22" s="8" t="n"/>
    </row>
    <row r="23">
      <c r="A23" s="8" t="n"/>
      <c r="B23" s="9" t="inlineStr">
        <is>
          <t>Мода</t>
        </is>
      </c>
      <c r="C23" s="10">
        <f>MODE(C5:C19)</f>
        <v/>
      </c>
      <c r="D23" s="10">
        <f>MODE(D5:D19)</f>
        <v/>
      </c>
      <c r="E23" s="10">
        <f>MODE(E5:E19)</f>
        <v/>
      </c>
      <c r="F23" s="10">
        <f>MODE(F5:F19)</f>
        <v/>
      </c>
      <c r="G23" s="11">
        <f>MODE(G5:G19)</f>
        <v/>
      </c>
      <c r="H23" s="8" t="n"/>
      <c r="I23" s="8" t="n"/>
    </row>
    <row r="24">
      <c r="A24" s="8" t="n"/>
      <c r="B24" s="9" t="inlineStr">
        <is>
          <t>Минимум</t>
        </is>
      </c>
      <c r="C24" s="10">
        <f>MIN(C5:C19)</f>
        <v/>
      </c>
      <c r="D24" s="10">
        <f>MIN(D5:D19)</f>
        <v/>
      </c>
      <c r="E24" s="10">
        <f>MIN(E5:E19)</f>
        <v/>
      </c>
      <c r="F24" s="10">
        <f>MIN(F5:F19)</f>
        <v/>
      </c>
      <c r="G24" s="11">
        <f>MIN(G5:G19)</f>
        <v/>
      </c>
      <c r="H24" s="8" t="n"/>
      <c r="I24" s="8" t="n"/>
    </row>
    <row r="25">
      <c r="A25" s="12" t="n"/>
      <c r="B25" s="13" t="inlineStr">
        <is>
          <t>Максимум</t>
        </is>
      </c>
      <c r="C25" s="14">
        <f>MAX(C5:C19)</f>
        <v/>
      </c>
      <c r="D25" s="14">
        <f>MAX(D5:D19)</f>
        <v/>
      </c>
      <c r="E25" s="14">
        <f>MAX(E5:E19)</f>
        <v/>
      </c>
      <c r="F25" s="14">
        <f>MAX(F5:F19)</f>
        <v/>
      </c>
      <c r="G25" s="15">
        <f>MAX(G5:G19)</f>
        <v/>
      </c>
      <c r="H25" s="12" t="n"/>
      <c r="I25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5" customWidth="1" min="4" max="4"/>
    <col width="18" customWidth="1" min="5" max="5"/>
    <col width="14" customWidth="1" min="6" max="6"/>
    <col width="20" customWidth="1" min="7" max="7"/>
    <col width="18" customWidth="1" min="8" max="8"/>
  </cols>
  <sheetData>
    <row r="1">
      <c r="A1" s="1" t="inlineStr">
        <is>
          <t>Анализ продаж товаров компании</t>
        </is>
      </c>
    </row>
    <row r="2">
      <c r="A2" s="2" t="inlineStr">
        <is>
          <t>Практическая работа №6 | Выполнил: студент Концевич В.</t>
        </is>
      </c>
    </row>
    <row r="3"/>
    <row r="4">
      <c r="A4" s="3" t="inlineStr">
        <is>
          <t>№</t>
        </is>
      </c>
      <c r="B4" s="3" t="inlineStr">
        <is>
          <t>Товар</t>
        </is>
      </c>
      <c r="C4" s="3" t="inlineStr">
        <is>
          <t>Цена (руб.)</t>
        </is>
      </c>
      <c r="D4" s="3" t="inlineStr">
        <is>
          <t>Продано (шт.)</t>
        </is>
      </c>
      <c r="E4" s="3" t="inlineStr">
        <is>
          <t>Выручка (руб.)</t>
        </is>
      </c>
      <c r="F4" s="3" t="inlineStr">
        <is>
          <t>Категория</t>
        </is>
      </c>
      <c r="G4" s="3" t="inlineStr">
        <is>
          <t>Доля в выручке (%)</t>
        </is>
      </c>
      <c r="H4" s="3" t="inlineStr">
        <is>
          <t>Ранг по выручке</t>
        </is>
      </c>
    </row>
    <row r="5">
      <c r="A5" s="4" t="n">
        <v>1</v>
      </c>
      <c r="B5" s="5" t="inlineStr">
        <is>
          <t>Ноутбук</t>
        </is>
      </c>
      <c r="C5" s="16" t="n">
        <v>45000</v>
      </c>
      <c r="D5" s="17" t="n">
        <v>12</v>
      </c>
      <c r="E5" s="16">
        <f>C5*D5</f>
        <v/>
      </c>
      <c r="F5" s="18">
        <f>IF(E5&gt;100000, "Топ", IF(E5&gt;50000, "Средний", "Низкий"))</f>
        <v/>
      </c>
      <c r="G5" s="19">
        <f>E5/$E$20</f>
        <v/>
      </c>
      <c r="H5" s="4">
        <f>RANK(E5, $E$5:$E$19)</f>
        <v/>
      </c>
    </row>
    <row r="6">
      <c r="A6" s="4" t="n">
        <v>2</v>
      </c>
      <c r="B6" s="5" t="inlineStr">
        <is>
          <t>Монитор</t>
        </is>
      </c>
      <c r="C6" s="16" t="n">
        <v>18000</v>
      </c>
      <c r="D6" s="17" t="n">
        <v>25</v>
      </c>
      <c r="E6" s="16">
        <f>C6*D6</f>
        <v/>
      </c>
      <c r="F6" s="18">
        <f>IF(E6&gt;100000, "Топ", IF(E6&gt;50000, "Средний", "Низкий"))</f>
        <v/>
      </c>
      <c r="G6" s="19">
        <f>E6/$E$20</f>
        <v/>
      </c>
      <c r="H6" s="4">
        <f>RANK(E6, $E$5:$E$19)</f>
        <v/>
      </c>
    </row>
    <row r="7">
      <c r="A7" s="4" t="n">
        <v>3</v>
      </c>
      <c r="B7" s="5" t="inlineStr">
        <is>
          <t>Клавиатура</t>
        </is>
      </c>
      <c r="C7" s="16" t="n">
        <v>1500</v>
      </c>
      <c r="D7" s="17" t="n">
        <v>60</v>
      </c>
      <c r="E7" s="16">
        <f>C7*D7</f>
        <v/>
      </c>
      <c r="F7" s="18">
        <f>IF(E7&gt;100000, "Топ", IF(E7&gt;50000, "Средний", "Низкий"))</f>
        <v/>
      </c>
      <c r="G7" s="19">
        <f>E7/$E$20</f>
        <v/>
      </c>
      <c r="H7" s="4">
        <f>RANK(E7, $E$5:$E$19)</f>
        <v/>
      </c>
    </row>
    <row r="8">
      <c r="A8" s="4" t="n">
        <v>4</v>
      </c>
      <c r="B8" s="5" t="inlineStr">
        <is>
          <t>Мышь</t>
        </is>
      </c>
      <c r="C8" s="16" t="n">
        <v>800</v>
      </c>
      <c r="D8" s="17" t="n">
        <v>85</v>
      </c>
      <c r="E8" s="16">
        <f>C8*D8</f>
        <v/>
      </c>
      <c r="F8" s="18">
        <f>IF(E8&gt;100000, "Топ", IF(E8&gt;50000, "Средний", "Низкий"))</f>
        <v/>
      </c>
      <c r="G8" s="19">
        <f>E8/$E$20</f>
        <v/>
      </c>
      <c r="H8" s="4">
        <f>RANK(E8, $E$5:$E$19)</f>
        <v/>
      </c>
    </row>
    <row r="9">
      <c r="A9" s="4" t="n">
        <v>5</v>
      </c>
      <c r="B9" s="5" t="inlineStr">
        <is>
          <t>Принтер</t>
        </is>
      </c>
      <c r="C9" s="16" t="n">
        <v>12000</v>
      </c>
      <c r="D9" s="17" t="n">
        <v>8</v>
      </c>
      <c r="E9" s="16">
        <f>C9*D9</f>
        <v/>
      </c>
      <c r="F9" s="18">
        <f>IF(E9&gt;100000, "Топ", IF(E9&gt;50000, "Средний", "Низкий"))</f>
        <v/>
      </c>
      <c r="G9" s="19">
        <f>E9/$E$20</f>
        <v/>
      </c>
      <c r="H9" s="4">
        <f>RANK(E9, $E$5:$E$19)</f>
        <v/>
      </c>
    </row>
    <row r="10">
      <c r="A10" s="4" t="n">
        <v>6</v>
      </c>
      <c r="B10" s="5" t="inlineStr">
        <is>
          <t>Сканер</t>
        </is>
      </c>
      <c r="C10" s="16" t="n">
        <v>9000</v>
      </c>
      <c r="D10" s="17" t="n">
        <v>6</v>
      </c>
      <c r="E10" s="16">
        <f>C10*D10</f>
        <v/>
      </c>
      <c r="F10" s="18">
        <f>IF(E10&gt;100000, "Топ", IF(E10&gt;50000, "Средний", "Низкий"))</f>
        <v/>
      </c>
      <c r="G10" s="19">
        <f>E10/$E$20</f>
        <v/>
      </c>
      <c r="H10" s="4">
        <f>RANK(E10, $E$5:$E$19)</f>
        <v/>
      </c>
    </row>
    <row r="11">
      <c r="A11" s="4" t="n">
        <v>7</v>
      </c>
      <c r="B11" s="5" t="inlineStr">
        <is>
          <t>Флешка 32ГБ</t>
        </is>
      </c>
      <c r="C11" s="16" t="n">
        <v>600</v>
      </c>
      <c r="D11" s="17" t="n">
        <v>120</v>
      </c>
      <c r="E11" s="16">
        <f>C11*D11</f>
        <v/>
      </c>
      <c r="F11" s="18">
        <f>IF(E11&gt;100000, "Топ", IF(E11&gt;50000, "Средний", "Низкий"))</f>
        <v/>
      </c>
      <c r="G11" s="19">
        <f>E11/$E$20</f>
        <v/>
      </c>
      <c r="H11" s="4">
        <f>RANK(E11, $E$5:$E$19)</f>
        <v/>
      </c>
    </row>
    <row r="12">
      <c r="A12" s="4" t="n">
        <v>8</v>
      </c>
      <c r="B12" s="5" t="inlineStr">
        <is>
          <t>Внешний HDD</t>
        </is>
      </c>
      <c r="C12" s="16" t="n">
        <v>5500</v>
      </c>
      <c r="D12" s="17" t="n">
        <v>15</v>
      </c>
      <c r="E12" s="16">
        <f>C12*D12</f>
        <v/>
      </c>
      <c r="F12" s="18">
        <f>IF(E12&gt;100000, "Топ", IF(E12&gt;50000, "Средний", "Низкий"))</f>
        <v/>
      </c>
      <c r="G12" s="19">
        <f>E12/$E$20</f>
        <v/>
      </c>
      <c r="H12" s="4">
        <f>RANK(E12, $E$5:$E$19)</f>
        <v/>
      </c>
    </row>
    <row r="13">
      <c r="A13" s="4" t="n">
        <v>9</v>
      </c>
      <c r="B13" s="5" t="inlineStr">
        <is>
          <t>Веб-камера</t>
        </is>
      </c>
      <c r="C13" s="16" t="n">
        <v>2800</v>
      </c>
      <c r="D13" s="17" t="n">
        <v>22</v>
      </c>
      <c r="E13" s="16">
        <f>C13*D13</f>
        <v/>
      </c>
      <c r="F13" s="18">
        <f>IF(E13&gt;100000, "Топ", IF(E13&gt;50000, "Средний", "Низкий"))</f>
        <v/>
      </c>
      <c r="G13" s="19">
        <f>E13/$E$20</f>
        <v/>
      </c>
      <c r="H13" s="4">
        <f>RANK(E13, $E$5:$E$19)</f>
        <v/>
      </c>
    </row>
    <row r="14">
      <c r="A14" s="4" t="n">
        <v>10</v>
      </c>
      <c r="B14" s="5" t="inlineStr">
        <is>
          <t>Наушники</t>
        </is>
      </c>
      <c r="C14" s="16" t="n">
        <v>3200</v>
      </c>
      <c r="D14" s="17" t="n">
        <v>35</v>
      </c>
      <c r="E14" s="16">
        <f>C14*D14</f>
        <v/>
      </c>
      <c r="F14" s="18">
        <f>IF(E14&gt;100000, "Топ", IF(E14&gt;50000, "Средний", "Низкий"))</f>
        <v/>
      </c>
      <c r="G14" s="19">
        <f>E14/$E$20</f>
        <v/>
      </c>
      <c r="H14" s="4">
        <f>RANK(E14, $E$5:$E$19)</f>
        <v/>
      </c>
    </row>
    <row r="15">
      <c r="A15" s="4" t="n">
        <v>11</v>
      </c>
      <c r="B15" s="5" t="inlineStr">
        <is>
          <t>Коврик для мыши</t>
        </is>
      </c>
      <c r="C15" s="16" t="n">
        <v>400</v>
      </c>
      <c r="D15" s="17" t="n">
        <v>90</v>
      </c>
      <c r="E15" s="16">
        <f>C15*D15</f>
        <v/>
      </c>
      <c r="F15" s="18">
        <f>IF(E15&gt;100000, "Топ", IF(E15&gt;50000, "Средний", "Низкий"))</f>
        <v/>
      </c>
      <c r="G15" s="19">
        <f>E15/$E$20</f>
        <v/>
      </c>
      <c r="H15" s="4">
        <f>RANK(E15, $E$5:$E$19)</f>
        <v/>
      </c>
    </row>
    <row r="16">
      <c r="A16" s="4" t="n">
        <v>12</v>
      </c>
      <c r="B16" s="5" t="inlineStr">
        <is>
          <t>USB-хаб</t>
        </is>
      </c>
      <c r="C16" s="16" t="n">
        <v>1200</v>
      </c>
      <c r="D16" s="17" t="n">
        <v>40</v>
      </c>
      <c r="E16" s="16">
        <f>C16*D16</f>
        <v/>
      </c>
      <c r="F16" s="18">
        <f>IF(E16&gt;100000, "Топ", IF(E16&gt;50000, "Средний", "Низкий"))</f>
        <v/>
      </c>
      <c r="G16" s="19">
        <f>E16/$E$20</f>
        <v/>
      </c>
      <c r="H16" s="4">
        <f>RANK(E16, $E$5:$E$19)</f>
        <v/>
      </c>
    </row>
    <row r="17">
      <c r="A17" s="4" t="n">
        <v>13</v>
      </c>
      <c r="B17" s="5" t="inlineStr">
        <is>
          <t>Картридж</t>
        </is>
      </c>
      <c r="C17" s="16" t="n">
        <v>2500</v>
      </c>
      <c r="D17" s="17" t="n">
        <v>18</v>
      </c>
      <c r="E17" s="16">
        <f>C17*D17</f>
        <v/>
      </c>
      <c r="F17" s="18">
        <f>IF(E17&gt;100000, "Топ", IF(E17&gt;50000, "Средний", "Низкий"))</f>
        <v/>
      </c>
      <c r="G17" s="19">
        <f>E17/$E$20</f>
        <v/>
      </c>
      <c r="H17" s="4">
        <f>RANK(E17, $E$5:$E$19)</f>
        <v/>
      </c>
    </row>
    <row r="18">
      <c r="A18" s="4" t="n">
        <v>14</v>
      </c>
      <c r="B18" s="5" t="inlineStr">
        <is>
          <t>Бумага А4</t>
        </is>
      </c>
      <c r="C18" s="16" t="n">
        <v>350</v>
      </c>
      <c r="D18" s="17" t="n">
        <v>200</v>
      </c>
      <c r="E18" s="16">
        <f>C18*D18</f>
        <v/>
      </c>
      <c r="F18" s="18">
        <f>IF(E18&gt;100000, "Топ", IF(E18&gt;50000, "Средний", "Низкий"))</f>
        <v/>
      </c>
      <c r="G18" s="19">
        <f>E18/$E$20</f>
        <v/>
      </c>
      <c r="H18" s="4">
        <f>RANK(E18, $E$5:$E$19)</f>
        <v/>
      </c>
    </row>
    <row r="19">
      <c r="A19" s="4" t="n">
        <v>15</v>
      </c>
      <c r="B19" s="5" t="inlineStr">
        <is>
          <t>Роутер</t>
        </is>
      </c>
      <c r="C19" s="16" t="n">
        <v>4500</v>
      </c>
      <c r="D19" s="17" t="n">
        <v>14</v>
      </c>
      <c r="E19" s="16">
        <f>C19*D19</f>
        <v/>
      </c>
      <c r="F19" s="18">
        <f>IF(E19&gt;100000, "Топ", IF(E19&gt;50000, "Средний", "Низкий"))</f>
        <v/>
      </c>
      <c r="G19" s="19">
        <f>E19/$E$20</f>
        <v/>
      </c>
      <c r="H19" s="4">
        <f>RANK(E19, $E$5:$E$19)</f>
        <v/>
      </c>
    </row>
    <row r="20">
      <c r="A20" s="12" t="n"/>
      <c r="B20" s="13" t="inlineStr">
        <is>
          <t>ИТОГО:</t>
        </is>
      </c>
      <c r="C20" s="12" t="inlineStr"/>
      <c r="D20" s="20">
        <f>SUM(D5:D19)</f>
        <v/>
      </c>
      <c r="E20" s="21">
        <f>SUM(E5:E19)</f>
        <v/>
      </c>
      <c r="F20" s="12" t="n"/>
      <c r="G20" s="22">
        <f>SUM(G5:G19)</f>
        <v/>
      </c>
      <c r="H20" s="12" t="n"/>
    </row>
    <row r="21"/>
    <row r="22">
      <c r="B22" s="23" t="inlineStr">
        <is>
          <t>3. Статистика по выручке</t>
        </is>
      </c>
      <c r="E22" s="23" t="inlineStr">
        <is>
          <t>4. Расчеты по условию</t>
        </is>
      </c>
    </row>
    <row r="23">
      <c r="B23" s="5" t="inlineStr">
        <is>
          <t>Суммарная выручка (СУММ)</t>
        </is>
      </c>
      <c r="C23" s="24">
        <f>SUM(E5:E19)</f>
        <v/>
      </c>
      <c r="E23" s="5" t="inlineStr">
        <is>
          <t>Количество товаров категории «Топ» (СЧЁТЕСЛИ)</t>
        </is>
      </c>
      <c r="F23" s="31">
        <f>COUNTIF(F5:F19, "Топ")</f>
        <v/>
      </c>
    </row>
    <row r="24">
      <c r="B24" s="5" t="inlineStr">
        <is>
          <t>Средняя выручка на товар (СРЗНАЧ)</t>
        </is>
      </c>
      <c r="C24" s="32">
        <f>AVERAGE(E5:E19)</f>
        <v/>
      </c>
      <c r="E24" s="5" t="inlineStr">
        <is>
          <t>Сумма выручки товаров «Топ» (СУММЕСЛИ)</t>
        </is>
      </c>
      <c r="F24" s="24">
        <f>SUMIF(F5:F19, "Топ", E5:E19)</f>
        <v/>
      </c>
    </row>
    <row r="25">
      <c r="B25" s="5" t="inlineStr">
        <is>
          <t>Медиана выручки (МЕДИАНА)</t>
        </is>
      </c>
      <c r="C25" s="32">
        <f>MEDIAN(E5:E19)</f>
        <v/>
      </c>
      <c r="E25" s="5" t="inlineStr">
        <is>
          <t>Средняя выручка категории «Средний» (СРЗНАЧЕСЛИ)</t>
        </is>
      </c>
      <c r="F25" s="32">
        <f>AVERAGEIF(F5:F19, "Средний", E5:E19)</f>
        <v/>
      </c>
    </row>
    <row r="26">
      <c r="B26" s="5" t="inlineStr">
        <is>
          <t>Мода выручки (МОДА)</t>
        </is>
      </c>
      <c r="C26" s="27">
        <f>IFERROR(MODE(E5:E19), "Нет повторов")</f>
        <v/>
      </c>
    </row>
    <row r="27">
      <c r="B27" s="5" t="inlineStr">
        <is>
          <t>Минимальная выручка (МИН)</t>
        </is>
      </c>
      <c r="C27" s="24">
        <f>MIN(E5:E19)</f>
        <v/>
      </c>
      <c r="E27" s="23" t="inlineStr">
        <is>
          <t>7. Корреляционный анализ</t>
        </is>
      </c>
    </row>
    <row r="28">
      <c r="B28" s="5" t="inlineStr">
        <is>
          <t>Максимальная выручка (МАКС)</t>
        </is>
      </c>
      <c r="C28" s="24">
        <f>MAX(E5:E19)</f>
        <v/>
      </c>
      <c r="E28" s="5" t="inlineStr">
        <is>
          <t>Корреляция Цена vs Количество (КОРРЕЛ)</t>
        </is>
      </c>
      <c r="F28" s="28">
        <f>CORREL(C5:C19, D5:D19)</f>
        <v/>
      </c>
    </row>
    <row r="29">
      <c r="B29" s="5" t="inlineStr">
        <is>
          <t>Стандартное отклонение (СТАНДОТКЛОН)</t>
        </is>
      </c>
      <c r="C29" s="32">
        <f>STDEV(E5:E19)</f>
        <v/>
      </c>
      <c r="E29" s="5" t="inlineStr">
        <is>
          <t>Интерпретация зависимости</t>
        </is>
      </c>
      <c r="F29" s="29" t="inlineStr">
        <is>
          <t>Умеренная отрицательная связь (закон спроса)</t>
        </is>
      </c>
    </row>
    <row r="30">
      <c r="B30" s="5" t="inlineStr">
        <is>
          <t>Дисперсия выборки (ДИСП)</t>
        </is>
      </c>
      <c r="C30" s="30">
        <f>VAR(E5:E19)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2026-10-05T09:51:12Z</dcterms:created>
  <dcterms:modified xmlns:dcterms="http://purl.org/dc/terms/" xmlns:xsi="http://www.w3.org/2001/XMLSchema-instance" xsi:type="dcterms:W3CDTF">2026-10-05T13:21:43Z</dcterms:modified>
</cp:coreProperties>
</file>